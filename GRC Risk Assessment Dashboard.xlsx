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ml.chartshape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Risk Register" sheetId="1" r:id="rId1"/>
    <sheet name="Risk Heat Map" sheetId="2" r:id="rId2"/>
    <sheet name="Treatment Plan" sheetId="3" r:id="rId3"/>
    <sheet name="Dashboard" sheetId="4" r:id="rId4"/>
  </sheets>
  <calcPr calcId="124519"/>
</workbook>
</file>

<file path=xl/calcChain.xml><?xml version="1.0" encoding="utf-8"?>
<calcChain xmlns="http://schemas.openxmlformats.org/spreadsheetml/2006/main">
  <c r="H2" i="1"/>
  <c r="F4" i="3"/>
  <c r="G4" s="1"/>
  <c r="F3"/>
  <c r="G3" s="1"/>
  <c r="F2"/>
  <c r="G2" s="1"/>
  <c r="H3" i="1"/>
  <c r="H4"/>
  <c r="G3"/>
  <c r="G4"/>
  <c r="G2"/>
</calcChain>
</file>

<file path=xl/sharedStrings.xml><?xml version="1.0" encoding="utf-8"?>
<sst xmlns="http://schemas.openxmlformats.org/spreadsheetml/2006/main" count="112" uniqueCount="79">
  <si>
    <t>Risk ID</t>
  </si>
  <si>
    <t>Risk Description</t>
  </si>
  <si>
    <t>Asset / Process Affected</t>
  </si>
  <si>
    <t>Risk Owner</t>
  </si>
  <si>
    <t>Likelihood (1-5)</t>
  </si>
  <si>
    <t>Impact (1-5)</t>
  </si>
  <si>
    <t>Risk Score (Auto)</t>
  </si>
  <si>
    <t>Risk Level (Auto)</t>
  </si>
  <si>
    <t>Existing Controls</t>
  </si>
  <si>
    <t>Control Reference (ISO/NIST)</t>
  </si>
  <si>
    <t>Residual Risk Level</t>
  </si>
  <si>
    <t>Status</t>
  </si>
  <si>
    <t>Review Date</t>
  </si>
  <si>
    <t>Comments</t>
  </si>
  <si>
    <t>RSK-001</t>
  </si>
  <si>
    <t>Phishing attack may compromise credentials</t>
  </si>
  <si>
    <t>Email System</t>
  </si>
  <si>
    <t>IT Security</t>
  </si>
  <si>
    <t>High</t>
  </si>
  <si>
    <t>Email gateway, user awareness</t>
  </si>
  <si>
    <t>ISO A.7.2.2 / NIST PR.AT-1</t>
  </si>
  <si>
    <t>In Progress</t>
  </si>
  <si>
    <t>2026-01-15</t>
  </si>
  <si>
    <t>Need to enhance training</t>
  </si>
  <si>
    <t>RSK-002</t>
  </si>
  <si>
    <t>Firewall misconfiguration</t>
  </si>
  <si>
    <t>Network Infrastructure</t>
  </si>
  <si>
    <t>Network Team</t>
  </si>
  <si>
    <t>Medium</t>
  </si>
  <si>
    <t>Firewall rule review</t>
  </si>
  <si>
    <t>ISO A.13.1.1 / NIST PR.AC-5</t>
  </si>
  <si>
    <t>Open</t>
  </si>
  <si>
    <t>2025-12-31</t>
  </si>
  <si>
    <t>Quarterly review required</t>
  </si>
  <si>
    <t>RSK-003</t>
  </si>
  <si>
    <t>Data leakage from cloud storage</t>
  </si>
  <si>
    <t>AWS S3 Buckets</t>
  </si>
  <si>
    <t>Cloud Admin</t>
  </si>
  <si>
    <t>Access control, encryption</t>
  </si>
  <si>
    <t>ISO A.10.1 / NIST PR.DS-1</t>
  </si>
  <si>
    <t>2026-02-10</t>
  </si>
  <si>
    <t>Perform S3 audit</t>
  </si>
  <si>
    <t>Impact 1</t>
  </si>
  <si>
    <t>Impact 2</t>
  </si>
  <si>
    <t>Impact 3</t>
  </si>
  <si>
    <t>Impact 4</t>
  </si>
  <si>
    <t>Impact 5</t>
  </si>
  <si>
    <t>Likelihood 1</t>
  </si>
  <si>
    <t>Likelihood 2</t>
  </si>
  <si>
    <t>Likelihood 3</t>
  </si>
  <si>
    <t>Likelihood 4</t>
  </si>
  <si>
    <t>Likelihood 5</t>
  </si>
  <si>
    <t>Risk Level</t>
  </si>
  <si>
    <t>Proposed Controls / Mitigation Actions</t>
  </si>
  <si>
    <t>Control Owner</t>
  </si>
  <si>
    <t>Target Date</t>
  </si>
  <si>
    <t>Status (Open/In Progress/Closed)</t>
  </si>
  <si>
    <t>Remarks</t>
  </si>
  <si>
    <t>Phishing attack may lead to credential compromise</t>
  </si>
  <si>
    <t>Email filtering, user awareness training</t>
  </si>
  <si>
    <t>Implement multi-factor authentication (MFA) for all employees</t>
  </si>
  <si>
    <t>Security Admin</t>
  </si>
  <si>
    <t>2025-12-15</t>
  </si>
  <si>
    <t>Ongoing awareness sessions planned</t>
  </si>
  <si>
    <t>Unpatched firewall vulnerability</t>
  </si>
  <si>
    <t>Firewall monitoring</t>
  </si>
  <si>
    <t>Patch firmware and enable auto-updates</t>
  </si>
  <si>
    <t>Network Engineer</t>
  </si>
  <si>
    <t>2025-11-30</t>
  </si>
  <si>
    <t>Low</t>
  </si>
  <si>
    <t>Patch scheduled this month</t>
  </si>
  <si>
    <t>Data backup failure during outage</t>
  </si>
  <si>
    <t>IT Operations</t>
  </si>
  <si>
    <t>Manual backups</t>
  </si>
  <si>
    <t>Automate daily incremental backups with cloud redundancy</t>
  </si>
  <si>
    <t>Backup Admin</t>
  </si>
  <si>
    <t>2026-01-10</t>
  </si>
  <si>
    <t>Automation testing in progress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</si>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</sst>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0.22615507436570426"/>
          <c:y val="0.27825240594925638"/>
          <c:w val="0.59804068241469832"/>
          <c:h val="0.47878062117235354"/>
        </c:manualLayout>
      </c:layout>
      <c:barChart>
        <c:barDir val="col"/>
        <c:grouping val="clustered"/>
        <c:ser>
          <c:idx val="0"/>
          <c:order val="0"/>
          <c:cat>
            <c:strRef>
              <c:f>'Risk Register'!$A$2:$A$4</c:f>
              <c:strCache>
                <c:ptCount val="3"/>
                <c:pt idx="0">
                  <c:v>RSK-001</c:v>
                </c:pt>
                <c:pt idx="1">
                  <c:v>RSK-002</c:v>
                </c:pt>
                <c:pt idx="2">
                  <c:v>RSK-003</c:v>
                </c:pt>
              </c:strCache>
            </c:strRef>
          </c:cat>
          <c:val>
            <c:numRef>
              <c:f>'Risk Register'!$G$2:$G$4</c:f>
              <c:numCache>
                <c:formatCode>General</c:formatCode>
                <c:ptCount val="3"/>
                <c:pt idx="0">
                  <c:v>20</c:v>
                </c:pt>
                <c:pt idx="1">
                  <c:v>12</c:v>
                </c:pt>
                <c:pt idx="2">
                  <c:v>25</c:v>
                </c:pt>
              </c:numCache>
            </c:numRef>
          </c:val>
        </c:ser>
        <c:axId val="122688640"/>
        <c:axId val="122690176"/>
      </c:barChart>
      <c:catAx>
        <c:axId val="122688640"/>
        <c:scaling>
          <c:orientation val="minMax"/>
        </c:scaling>
        <c:axPos val="b"/>
        <c:tickLblPos val="nextTo"/>
        <c:crossAx val="122690176"/>
        <c:crosses val="autoZero"/>
        <c:auto val="1"/>
        <c:lblAlgn val="ctr"/>
        <c:lblOffset val="100"/>
      </c:catAx>
      <c:valAx>
        <c:axId val="122690176"/>
        <c:scaling>
          <c:orientation val="minMax"/>
        </c:scaling>
        <c:axPos val="l"/>
        <c:majorGridlines/>
        <c:numFmt formatCode="General" sourceLinked="1"/>
        <c:tickLblPos val="nextTo"/>
        <c:crossAx val="122688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7.5520364423720773E-2"/>
          <c:y val="0.21667801659927644"/>
          <c:w val="0.73501957506708304"/>
          <c:h val="0.63701177555508282"/>
        </c:manualLayout>
      </c:layout>
      <c:lineChart>
        <c:grouping val="standard"/>
        <c:ser>
          <c:idx val="0"/>
          <c:order val="0"/>
          <c:marker>
            <c:symbol val="none"/>
          </c:marker>
          <c:cat>
            <c:strRef>
              <c:f>'Risk Heat Map'!$A$2:$A$6</c:f>
              <c:strCache>
                <c:ptCount val="5"/>
                <c:pt idx="0">
                  <c:v>Likelihood 1</c:v>
                </c:pt>
                <c:pt idx="1">
                  <c:v>Likelihood 2</c:v>
                </c:pt>
                <c:pt idx="2">
                  <c:v>Likelihood 3</c:v>
                </c:pt>
                <c:pt idx="3">
                  <c:v>Likelihood 4</c:v>
                </c:pt>
                <c:pt idx="4">
                  <c:v>Likelihood 5</c:v>
                </c:pt>
              </c:strCache>
            </c:strRef>
          </c:cat>
          <c:val>
            <c:numRef>
              <c:f>'Risk Heat Map'!$B$2:$F$2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cat>
            <c:strRef>
              <c:f>'Risk Heat Map'!$A$2:$A$6</c:f>
              <c:strCache>
                <c:ptCount val="5"/>
                <c:pt idx="0">
                  <c:v>Likelihood 1</c:v>
                </c:pt>
                <c:pt idx="1">
                  <c:v>Likelihood 2</c:v>
                </c:pt>
                <c:pt idx="2">
                  <c:v>Likelihood 3</c:v>
                </c:pt>
                <c:pt idx="3">
                  <c:v>Likelihood 4</c:v>
                </c:pt>
                <c:pt idx="4">
                  <c:v>Likelihood 5</c:v>
                </c:pt>
              </c:strCache>
            </c:strRef>
          </c:cat>
          <c:val>
            <c:numRef>
              <c:f>'Risk Heat Map'!$B$3:$F$3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cat>
            <c:strRef>
              <c:f>'Risk Heat Map'!$A$2:$A$6</c:f>
              <c:strCache>
                <c:ptCount val="5"/>
                <c:pt idx="0">
                  <c:v>Likelihood 1</c:v>
                </c:pt>
                <c:pt idx="1">
                  <c:v>Likelihood 2</c:v>
                </c:pt>
                <c:pt idx="2">
                  <c:v>Likelihood 3</c:v>
                </c:pt>
                <c:pt idx="3">
                  <c:v>Likelihood 4</c:v>
                </c:pt>
                <c:pt idx="4">
                  <c:v>Likelihood 5</c:v>
                </c:pt>
              </c:strCache>
            </c:strRef>
          </c:cat>
          <c:val>
            <c:numRef>
              <c:f>'Risk Heat Map'!$B$4:$F$4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ser>
          <c:idx val="3"/>
          <c:order val="3"/>
          <c:marker>
            <c:symbol val="none"/>
          </c:marker>
          <c:cat>
            <c:strRef>
              <c:f>'Risk Heat Map'!$A$2:$A$6</c:f>
              <c:strCache>
                <c:ptCount val="5"/>
                <c:pt idx="0">
                  <c:v>Likelihood 1</c:v>
                </c:pt>
                <c:pt idx="1">
                  <c:v>Likelihood 2</c:v>
                </c:pt>
                <c:pt idx="2">
                  <c:v>Likelihood 3</c:v>
                </c:pt>
                <c:pt idx="3">
                  <c:v>Likelihood 4</c:v>
                </c:pt>
                <c:pt idx="4">
                  <c:v>Likelihood 5</c:v>
                </c:pt>
              </c:strCache>
            </c:strRef>
          </c:cat>
          <c:val>
            <c:numRef>
              <c:f>'Risk Heat Map'!$B$5:$F$5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</c:numCache>
            </c:numRef>
          </c:val>
        </c:ser>
        <c:ser>
          <c:idx val="4"/>
          <c:order val="4"/>
          <c:marker>
            <c:symbol val="none"/>
          </c:marker>
          <c:cat>
            <c:strRef>
              <c:f>'Risk Heat Map'!$A$2:$A$6</c:f>
              <c:strCache>
                <c:ptCount val="5"/>
                <c:pt idx="0">
                  <c:v>Likelihood 1</c:v>
                </c:pt>
                <c:pt idx="1">
                  <c:v>Likelihood 2</c:v>
                </c:pt>
                <c:pt idx="2">
                  <c:v>Likelihood 3</c:v>
                </c:pt>
                <c:pt idx="3">
                  <c:v>Likelihood 4</c:v>
                </c:pt>
                <c:pt idx="4">
                  <c:v>Likelihood 5</c:v>
                </c:pt>
              </c:strCache>
            </c:strRef>
          </c:cat>
          <c:val>
            <c:numRef>
              <c:f>'Risk Heat Map'!$B$6:$F$6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val>
        </c:ser>
        <c:marker val="1"/>
        <c:axId val="123493760"/>
        <c:axId val="123503744"/>
      </c:lineChart>
      <c:catAx>
        <c:axId val="12349376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23503744"/>
        <c:crosses val="autoZero"/>
        <c:auto val="1"/>
        <c:lblAlgn val="ctr"/>
        <c:lblOffset val="100"/>
      </c:catAx>
      <c:valAx>
        <c:axId val="123503744"/>
        <c:scaling>
          <c:orientation val="minMax"/>
        </c:scaling>
        <c:axPos val="l"/>
        <c:majorGridlines/>
        <c:numFmt formatCode="General" sourceLinked="1"/>
        <c:tickLblPos val="nextTo"/>
        <c:crossAx val="123493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0.15539107611548558"/>
          <c:y val="0.2226968503937008"/>
          <c:w val="0.66880468066491705"/>
          <c:h val="0.55285469524642761"/>
        </c:manualLayout>
      </c:layout>
      <c:barChart>
        <c:barDir val="col"/>
        <c:grouping val="clustered"/>
        <c:ser>
          <c:idx val="0"/>
          <c:order val="0"/>
          <c:cat>
            <c:strRef>
              <c:f>'Treatment Plan'!$A$7:$A$8</c:f>
              <c:strCache>
                <c:ptCount val="2"/>
                <c:pt idx="0">
                  <c:v>Medium</c:v>
                </c:pt>
                <c:pt idx="1">
                  <c:v>Low</c:v>
                </c:pt>
              </c:strCache>
            </c:strRef>
          </c:cat>
          <c:val>
            <c:numRef>
              <c:f>'Treatment Plan'!$B$7:$B$8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axId val="123514240"/>
        <c:axId val="123565184"/>
      </c:barChart>
      <c:catAx>
        <c:axId val="123514240"/>
        <c:scaling>
          <c:orientation val="minMax"/>
        </c:scaling>
        <c:axPos val="b"/>
        <c:tickLblPos val="nextTo"/>
        <c:crossAx val="123565184"/>
        <c:crosses val="autoZero"/>
        <c:auto val="1"/>
        <c:lblAlgn val="ctr"/>
        <c:lblOffset val="100"/>
      </c:catAx>
      <c:valAx>
        <c:axId val="123565184"/>
        <c:scaling>
          <c:orientation val="minMax"/>
        </c:scaling>
        <c:axPos val="l"/>
        <c:majorGridlines/>
        <c:numFmt formatCode="General" sourceLinked="1"/>
        <c:tickLblPos val="nextTo"/>
        <c:crossAx val="123514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0.13620888013998253"/>
          <c:y val="0.18055555555555555"/>
          <c:w val="0.46111111111111114"/>
          <c:h val="0.76851851851851871"/>
        </c:manualLayout>
      </c:layout>
      <c:pieChart>
        <c:varyColors val="1"/>
        <c:ser>
          <c:idx val="0"/>
          <c:order val="0"/>
          <c:cat>
            <c:strRef>
              <c:f>'Treatment Plan'!$A$11:$A$12</c:f>
              <c:strCache>
                <c:ptCount val="2"/>
                <c:pt idx="0">
                  <c:v>In Progress</c:v>
                </c:pt>
                <c:pt idx="1">
                  <c:v>Open</c:v>
                </c:pt>
              </c:strCache>
            </c:strRef>
          </c:cat>
          <c:val>
            <c:numRef>
              <c:f>'Treatment Plan'!$B$11:$B$12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0.15096587926509189"/>
          <c:y val="0.21296296296296302"/>
          <c:w val="0.44166666666666671"/>
          <c:h val="0.73611111111111127"/>
        </c:manualLayout>
      </c:layout>
      <c:pieChart>
        <c:varyColors val="1"/>
        <c:ser>
          <c:idx val="0"/>
          <c:order val="0"/>
          <c:cat>
            <c:strRef>
              <c:f>Dashboard!$A$2:$A$4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5</xdr:row>
      <xdr:rowOff>161925</xdr:rowOff>
    </xdr:from>
    <xdr:to>
      <xdr:col>7</xdr:col>
      <xdr:colOff>47625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0.27083</cdr:x>
      <cdr:y>0.04861</cdr:y>
    </cdr:from>
    <cdr:to>
      <cdr:x>0.8</cdr:x>
      <cdr:y>0.14236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50" y="133349"/>
          <a:ext cx="2419350" cy="257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2000" b="1"/>
            <a:t>Risk Rating Overview</a:t>
          </a:r>
        </a:p>
      </cdr:txBody>
    </cdr:sp>
  </cdr:relSizeAnchor>
  <cdr:relSizeAnchor xmlns:cdr="http://schemas.openxmlformats.org/drawingml/2006/chartDrawing">
    <cdr:from>
      <cdr:x>0.45209</cdr:x>
      <cdr:y>0.86806</cdr:y>
    </cdr:from>
    <cdr:to>
      <cdr:x>0.59375</cdr:x>
      <cdr:y>0.94445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66940" y="2381250"/>
          <a:ext cx="647670" cy="209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1100" b="1"/>
            <a:t>Risk ID</a:t>
          </a:r>
        </a:p>
      </cdr:txBody>
    </cdr:sp>
  </cdr:relSizeAnchor>
  <cdr:relSizeAnchor xmlns:cdr="http://schemas.openxmlformats.org/drawingml/2006/chartDrawing">
    <cdr:from>
      <cdr:x>0.06042</cdr:x>
      <cdr:y>0.28472</cdr:y>
    </cdr:from>
    <cdr:to>
      <cdr:x>0.11875</cdr:x>
      <cdr:y>0.78819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6225" y="781050"/>
          <a:ext cx="266700" cy="1381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1000" b="1"/>
            <a:t>Risk Score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314324</xdr:colOff>
      <xdr:row>5</xdr:row>
      <xdr:rowOff>161925</xdr:rowOff>
    </xdr:from>
    <xdr:to>
      <xdr:col>14</xdr:col>
      <xdr:colOff>552449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0.31285</cdr:x>
      <cdr:y>0.05743</cdr:y>
    </cdr:from>
    <cdr:to>
      <cdr:x>0.67598</cdr:x>
      <cdr:y>0.17905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00201" y="161925"/>
          <a:ext cx="18573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1800" b="1"/>
            <a:t>Risk Heat Map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5</xdr:row>
      <xdr:rowOff>38100</xdr:rowOff>
    </xdr:from>
    <xdr:to>
      <xdr:col>7</xdr:col>
      <xdr:colOff>1571625</xdr:colOff>
      <xdr:row>18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13</xdr:row>
      <xdr:rowOff>95250</xdr:rowOff>
    </xdr:from>
    <xdr:to>
      <xdr:col>2</xdr:col>
      <xdr:colOff>619125</xdr:colOff>
      <xdr:row>27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0.26667</cdr:x>
      <cdr:y>0.03819</cdr:y>
    </cdr:from>
    <cdr:to>
      <cdr:x>0.72292</cdr:x>
      <cdr:y>0.12153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19200" y="104775"/>
          <a:ext cx="20859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2000" b="1"/>
            <a:t>Residual</a:t>
          </a:r>
          <a:r>
            <a:rPr lang="en-GB" sz="1800" b="1"/>
            <a:t> Risk Level </a:t>
          </a:r>
        </a:p>
      </cdr:txBody>
    </cdr:sp>
  </cdr:relSizeAnchor>
  <cdr:relSizeAnchor xmlns:cdr="http://schemas.openxmlformats.org/drawingml/2006/chartDrawing">
    <cdr:from>
      <cdr:x>0.30625</cdr:x>
      <cdr:y>0.87847</cdr:y>
    </cdr:from>
    <cdr:to>
      <cdr:x>0.70833</cdr:x>
      <cdr:y>0.98958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00175" y="2409825"/>
          <a:ext cx="183832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b="1"/>
            <a:t>Residual Risk Level </a:t>
          </a:r>
          <a:endParaRPr lang="en-GB" sz="1100" b="1"/>
        </a:p>
      </cdr:txBody>
    </cdr:sp>
  </cdr:relSizeAnchor>
  <cdr:relSizeAnchor xmlns:cdr="http://schemas.openxmlformats.org/drawingml/2006/chartDrawing">
    <cdr:from>
      <cdr:x>0.02708</cdr:x>
      <cdr:y>0.26042</cdr:y>
    </cdr:from>
    <cdr:to>
      <cdr:x>0.07083</cdr:x>
      <cdr:y>0.61806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23825" y="714375"/>
          <a:ext cx="200025" cy="981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1100" b="1"/>
            <a:t>Count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0.19375</cdr:x>
      <cdr:y>0.04861</cdr:y>
    </cdr:from>
    <cdr:to>
      <cdr:x>0.70417</cdr:x>
      <cdr:y>0.15625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5825" y="133349"/>
          <a:ext cx="23336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i="0" baseline="0">
              <a:latin typeface="+mn-lt"/>
              <a:ea typeface="+mn-ea"/>
              <a:cs typeface="+mn-cs"/>
            </a:rPr>
            <a:t>Risk Status Distribution</a:t>
          </a:r>
          <a:endParaRPr lang="en-GB" sz="1600"/>
        </a:p>
        <a:p xmlns:a="http://schemas.openxmlformats.org/drawingml/2006/main">
          <a:endParaRPr lang="en-GB" sz="20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133350</xdr:rowOff>
    </xdr:from>
    <xdr:to>
      <xdr:col>10</xdr:col>
      <xdr:colOff>390525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0.27708</cdr:x>
      <cdr:y>0.01736</cdr:y>
    </cdr:from>
    <cdr:to>
      <cdr:x>0.71875</cdr:x>
      <cdr:y>0.13542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66825" y="47625"/>
          <a:ext cx="20193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GB" sz="2000" b="1"/>
            <a:t>Risk Level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>
      <selection activeCell="B16" sqref="B16"/>
    </sheetView>
  </sheetViews>
  <sheetFormatPr defaultRowHeight="15"/>
  <cols>
    <col min="2" max="2" width="41.140625" bestFit="1" customWidth="1"/>
    <col min="3" max="3" width="22.85546875" bestFit="1" customWidth="1"/>
    <col min="4" max="4" width="14.140625" bestFit="1" customWidth="1"/>
    <col min="5" max="5" width="15" bestFit="1" customWidth="1"/>
    <col min="6" max="6" width="11.5703125" bestFit="1" customWidth="1"/>
    <col min="7" max="7" width="16.140625" bestFit="1" customWidth="1"/>
    <col min="8" max="8" width="16" bestFit="1" customWidth="1"/>
    <col min="9" max="9" width="29" bestFit="1" customWidth="1"/>
    <col min="10" max="10" width="27.42578125" bestFit="1" customWidth="1"/>
    <col min="12" max="12" width="10.7109375" bestFit="1" customWidth="1"/>
    <col min="13" max="13" width="12.140625" bestFit="1" customWidth="1"/>
    <col min="14" max="14" width="24.57031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</v>
      </c>
      <c r="F2" s="1">
        <v>5</v>
      </c>
      <c r="G2" s="1">
        <f>E2*F2</f>
        <v>20</v>
      </c>
      <c r="H2" s="4" t="str">
        <f>IF(G2&lt;=5,"Low",IF(G2&lt;=12,"Medium","High"))</f>
        <v>High</v>
      </c>
      <c r="I2" s="1" t="s">
        <v>19</v>
      </c>
      <c r="J2" s="1" t="s">
        <v>20</v>
      </c>
      <c r="K2" s="1"/>
      <c r="L2" s="1" t="s">
        <v>21</v>
      </c>
      <c r="M2" s="1" t="s">
        <v>22</v>
      </c>
      <c r="N2" s="1" t="s">
        <v>23</v>
      </c>
    </row>
    <row r="3" spans="1:14">
      <c r="A3" s="1" t="s">
        <v>24</v>
      </c>
      <c r="B3" s="1" t="s">
        <v>25</v>
      </c>
      <c r="C3" s="1" t="s">
        <v>26</v>
      </c>
      <c r="D3" s="1" t="s">
        <v>27</v>
      </c>
      <c r="E3" s="1">
        <v>3</v>
      </c>
      <c r="F3" s="1">
        <v>4</v>
      </c>
      <c r="G3" s="1">
        <f t="shared" ref="G3:G4" si="0">E3*F3</f>
        <v>12</v>
      </c>
      <c r="H3" s="5" t="str">
        <f t="shared" ref="H3:H4" si="1">IF(G3&lt;=5,"Low",IF(G3&lt;=12,"Medium","High"))</f>
        <v>Medium</v>
      </c>
      <c r="I3" s="1" t="s">
        <v>29</v>
      </c>
      <c r="J3" s="1" t="s">
        <v>30</v>
      </c>
      <c r="K3" s="1"/>
      <c r="L3" s="1" t="s">
        <v>31</v>
      </c>
      <c r="M3" s="1" t="s">
        <v>32</v>
      </c>
      <c r="N3" s="1" t="s">
        <v>33</v>
      </c>
    </row>
    <row r="4" spans="1:14">
      <c r="A4" s="1" t="s">
        <v>34</v>
      </c>
      <c r="B4" s="1" t="s">
        <v>35</v>
      </c>
      <c r="C4" s="1" t="s">
        <v>36</v>
      </c>
      <c r="D4" s="1" t="s">
        <v>37</v>
      </c>
      <c r="E4" s="1">
        <v>5</v>
      </c>
      <c r="F4" s="1">
        <v>5</v>
      </c>
      <c r="G4" s="1">
        <f t="shared" si="0"/>
        <v>25</v>
      </c>
      <c r="H4" s="4" t="str">
        <f t="shared" si="1"/>
        <v>High</v>
      </c>
      <c r="I4" s="1" t="s">
        <v>38</v>
      </c>
      <c r="J4" s="1" t="s">
        <v>39</v>
      </c>
      <c r="K4" s="1"/>
      <c r="L4" s="1" t="s">
        <v>31</v>
      </c>
      <c r="M4" s="1" t="s">
        <v>40</v>
      </c>
      <c r="N4" s="1" t="s">
        <v>41</v>
      </c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E14" sqref="E14"/>
    </sheetView>
  </sheetViews>
  <sheetFormatPr defaultRowHeight="15"/>
  <cols>
    <col min="1" max="1" width="11.7109375" bestFit="1" customWidth="1"/>
  </cols>
  <sheetData>
    <row r="1" spans="1:6">
      <c r="A1" s="1"/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</row>
    <row r="2" spans="1:6">
      <c r="A2" s="9" t="s">
        <v>47</v>
      </c>
      <c r="B2" s="6">
        <v>1</v>
      </c>
      <c r="C2" s="6">
        <v>2</v>
      </c>
      <c r="D2" s="6">
        <v>3</v>
      </c>
      <c r="E2" s="6">
        <v>4</v>
      </c>
      <c r="F2" s="6">
        <v>5</v>
      </c>
    </row>
    <row r="3" spans="1:6">
      <c r="A3" s="9" t="s">
        <v>48</v>
      </c>
      <c r="B3" s="6">
        <v>2</v>
      </c>
      <c r="C3" s="6">
        <v>4</v>
      </c>
      <c r="D3" s="6">
        <v>6</v>
      </c>
      <c r="E3" s="6">
        <v>8</v>
      </c>
      <c r="F3" s="7">
        <v>10</v>
      </c>
    </row>
    <row r="4" spans="1:6">
      <c r="A4" s="9" t="s">
        <v>49</v>
      </c>
      <c r="B4" s="6">
        <v>3</v>
      </c>
      <c r="C4" s="6">
        <v>6</v>
      </c>
      <c r="D4" s="6">
        <v>9</v>
      </c>
      <c r="E4" s="7">
        <v>12</v>
      </c>
      <c r="F4" s="7">
        <v>15</v>
      </c>
    </row>
    <row r="5" spans="1:6">
      <c r="A5" s="9" t="s">
        <v>50</v>
      </c>
      <c r="B5" s="6">
        <v>4</v>
      </c>
      <c r="C5" s="6">
        <v>8</v>
      </c>
      <c r="D5" s="7">
        <v>12</v>
      </c>
      <c r="E5" s="7">
        <v>16</v>
      </c>
      <c r="F5" s="8">
        <v>20</v>
      </c>
    </row>
    <row r="6" spans="1:6">
      <c r="A6" s="9" t="s">
        <v>51</v>
      </c>
      <c r="B6" s="6">
        <v>5</v>
      </c>
      <c r="C6" s="7">
        <v>10</v>
      </c>
      <c r="D6" s="7">
        <v>15</v>
      </c>
      <c r="E6" s="8">
        <v>20</v>
      </c>
      <c r="F6" s="8">
        <v>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selection activeCell="A2" sqref="A2"/>
    </sheetView>
  </sheetViews>
  <sheetFormatPr defaultRowHeight="15"/>
  <cols>
    <col min="1" max="1" width="17.7109375" customWidth="1"/>
    <col min="2" max="2" width="47.140625" bestFit="1" customWidth="1"/>
    <col min="3" max="3" width="14.140625" bestFit="1" customWidth="1"/>
    <col min="4" max="4" width="15" bestFit="1" customWidth="1"/>
    <col min="5" max="5" width="11.5703125" bestFit="1" customWidth="1"/>
    <col min="6" max="6" width="16.140625" bestFit="1" customWidth="1"/>
    <col min="7" max="7" width="9.7109375" bestFit="1" customWidth="1"/>
    <col min="8" max="8" width="36.28515625" bestFit="1" customWidth="1"/>
    <col min="9" max="9" width="58.7109375" bestFit="1" customWidth="1"/>
    <col min="10" max="10" width="17.28515625" bestFit="1" customWidth="1"/>
    <col min="11" max="11" width="11.140625" bestFit="1" customWidth="1"/>
    <col min="12" max="12" width="18" bestFit="1" customWidth="1"/>
    <col min="13" max="13" width="31.28515625" bestFit="1" customWidth="1"/>
    <col min="14" max="14" width="12.140625" bestFit="1" customWidth="1"/>
    <col min="15" max="15" width="34.7109375" bestFit="1" customWidth="1"/>
  </cols>
  <sheetData>
    <row r="1" spans="1:15" s="10" customFormat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52</v>
      </c>
      <c r="H1" s="2" t="s">
        <v>8</v>
      </c>
      <c r="I1" s="2" t="s">
        <v>53</v>
      </c>
      <c r="J1" s="2" t="s">
        <v>54</v>
      </c>
      <c r="K1" s="2" t="s">
        <v>55</v>
      </c>
      <c r="L1" s="2" t="s">
        <v>10</v>
      </c>
      <c r="M1" s="2" t="s">
        <v>56</v>
      </c>
      <c r="N1" s="2" t="s">
        <v>12</v>
      </c>
      <c r="O1" s="2" t="s">
        <v>57</v>
      </c>
    </row>
    <row r="2" spans="1:15">
      <c r="A2" s="1" t="s">
        <v>14</v>
      </c>
      <c r="B2" s="1" t="s">
        <v>58</v>
      </c>
      <c r="C2" s="1" t="s">
        <v>17</v>
      </c>
      <c r="D2" s="1">
        <v>4</v>
      </c>
      <c r="E2" s="1">
        <v>5</v>
      </c>
      <c r="F2" s="1">
        <f>D2*E2</f>
        <v>20</v>
      </c>
      <c r="G2" s="4" t="str">
        <f>IF(F2&lt;=5,"Low",IF(F2&lt;=12,"Medium","High"))</f>
        <v>High</v>
      </c>
      <c r="H2" s="1" t="s">
        <v>59</v>
      </c>
      <c r="I2" s="1" t="s">
        <v>60</v>
      </c>
      <c r="J2" s="1" t="s">
        <v>61</v>
      </c>
      <c r="K2" s="1" t="s">
        <v>62</v>
      </c>
      <c r="L2" s="5" t="s">
        <v>28</v>
      </c>
      <c r="M2" s="1" t="s">
        <v>21</v>
      </c>
      <c r="N2" s="1" t="s">
        <v>22</v>
      </c>
      <c r="O2" s="1" t="s">
        <v>63</v>
      </c>
    </row>
    <row r="3" spans="1:15">
      <c r="A3" s="1" t="s">
        <v>24</v>
      </c>
      <c r="B3" s="1" t="s">
        <v>64</v>
      </c>
      <c r="C3" s="1" t="s">
        <v>27</v>
      </c>
      <c r="D3" s="1">
        <v>3</v>
      </c>
      <c r="E3" s="1">
        <v>4</v>
      </c>
      <c r="F3" s="1">
        <f t="shared" ref="F3:F4" si="0">D3*E3</f>
        <v>12</v>
      </c>
      <c r="G3" s="5" t="str">
        <f t="shared" ref="G3:G4" si="1">IF(F3&lt;=5,"Low",IF(F3&lt;=12,"Medium","High"))</f>
        <v>Medium</v>
      </c>
      <c r="H3" s="1" t="s">
        <v>65</v>
      </c>
      <c r="I3" s="1" t="s">
        <v>66</v>
      </c>
      <c r="J3" s="1" t="s">
        <v>67</v>
      </c>
      <c r="K3" s="1" t="s">
        <v>68</v>
      </c>
      <c r="L3" s="3" t="s">
        <v>69</v>
      </c>
      <c r="M3" s="1" t="s">
        <v>31</v>
      </c>
      <c r="N3" s="1" t="s">
        <v>32</v>
      </c>
      <c r="O3" s="1" t="s">
        <v>70</v>
      </c>
    </row>
    <row r="4" spans="1:15">
      <c r="A4" s="1" t="s">
        <v>34</v>
      </c>
      <c r="B4" s="1" t="s">
        <v>71</v>
      </c>
      <c r="C4" s="1" t="s">
        <v>72</v>
      </c>
      <c r="D4" s="1">
        <v>2</v>
      </c>
      <c r="E4" s="1">
        <v>5</v>
      </c>
      <c r="F4" s="1">
        <f t="shared" si="0"/>
        <v>10</v>
      </c>
      <c r="G4" s="5" t="str">
        <f t="shared" si="1"/>
        <v>Medium</v>
      </c>
      <c r="H4" s="1" t="s">
        <v>73</v>
      </c>
      <c r="I4" s="1" t="s">
        <v>74</v>
      </c>
      <c r="J4" s="1" t="s">
        <v>75</v>
      </c>
      <c r="K4" s="1" t="s">
        <v>76</v>
      </c>
      <c r="L4" s="3" t="s">
        <v>69</v>
      </c>
      <c r="M4" s="1" t="s">
        <v>31</v>
      </c>
      <c r="N4" s="1" t="s">
        <v>40</v>
      </c>
      <c r="O4" s="1" t="s">
        <v>77</v>
      </c>
    </row>
    <row r="6" spans="1:15">
      <c r="A6" s="2" t="s">
        <v>10</v>
      </c>
      <c r="B6" s="2" t="s">
        <v>78</v>
      </c>
    </row>
    <row r="7" spans="1:15">
      <c r="A7" s="13" t="s">
        <v>28</v>
      </c>
      <c r="B7" s="11">
        <v>1</v>
      </c>
    </row>
    <row r="8" spans="1:15">
      <c r="A8" s="13" t="s">
        <v>69</v>
      </c>
      <c r="B8" s="11">
        <v>2</v>
      </c>
    </row>
    <row r="10" spans="1:15" ht="30">
      <c r="A10" s="12" t="s">
        <v>56</v>
      </c>
      <c r="B10" s="2" t="s">
        <v>78</v>
      </c>
    </row>
    <row r="11" spans="1:15">
      <c r="A11" s="1" t="s">
        <v>21</v>
      </c>
      <c r="B11" s="11">
        <v>1</v>
      </c>
    </row>
    <row r="12" spans="1:15">
      <c r="A12" s="1" t="s">
        <v>31</v>
      </c>
      <c r="B12" s="11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J23" sqref="J23"/>
    </sheetView>
  </sheetViews>
  <sheetFormatPr defaultRowHeight="15"/>
  <cols>
    <col min="1" max="1" width="9.7109375" bestFit="1" customWidth="1"/>
  </cols>
  <sheetData>
    <row r="1" spans="1:2">
      <c r="A1" s="2" t="s">
        <v>52</v>
      </c>
      <c r="B1" s="2" t="s">
        <v>78</v>
      </c>
    </row>
    <row r="2" spans="1:2">
      <c r="A2" s="1" t="s">
        <v>18</v>
      </c>
      <c r="B2" s="1">
        <v>2</v>
      </c>
    </row>
    <row r="3" spans="1:2">
      <c r="A3" s="1" t="s">
        <v>28</v>
      </c>
      <c r="B3" s="1">
        <v>1</v>
      </c>
    </row>
    <row r="4" spans="1:2">
      <c r="A4" s="1" t="s">
        <v>69</v>
      </c>
      <c r="B4" s="1">
        <v>0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</vt:lpstr>
      <vt:lpstr>Risk Heat Map</vt:lpstr>
      <vt:lpstr>Treatment Plan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Gaurao T</cp:lastModifiedBy>
  <dcterms:created xsi:type="dcterms:W3CDTF">2025-11-16T09:35:27Z</dcterms:created>
  <dcterms:modified xsi:type="dcterms:W3CDTF">2025-11-16T10:51:17Z</dcterms:modified>
</cp:coreProperties>
</file>