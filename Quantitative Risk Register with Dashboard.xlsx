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525" windowWidth="19815" windowHeight="7365" activeTab="2"/>
  </bookViews>
  <sheets>
    <sheet name="Quant_Risk_Register" sheetId="1" r:id="rId1"/>
    <sheet name="HeatMap_ALE" sheetId="2" r:id="rId2"/>
    <sheet name="Risk_Treatment" sheetId="3" r:id="rId3"/>
    <sheet name="Dashboard" sheetId="4" r:id="rId4"/>
  </sheets>
  <calcPr calcId="125725"/>
</workbook>
</file>

<file path=xl/calcChain.xml><?xml version="1.0" encoding="utf-8"?>
<calcChain xmlns="http://schemas.openxmlformats.org/spreadsheetml/2006/main">
  <c r="E3" i="1"/>
  <c r="F6" i="3" l="1"/>
  <c r="F5"/>
  <c r="F4"/>
  <c r="F3"/>
  <c r="F2"/>
  <c r="L6" i="1"/>
  <c r="M6" s="1"/>
  <c r="E6"/>
  <c r="G6" s="1"/>
  <c r="C6" i="2" s="1"/>
  <c r="L5" i="1"/>
  <c r="M5" s="1"/>
  <c r="G5" i="3" s="1"/>
  <c r="E5" i="1"/>
  <c r="G5" s="1"/>
  <c r="L4"/>
  <c r="M4" s="1"/>
  <c r="G4" i="3" s="1"/>
  <c r="E4" i="1"/>
  <c r="G4" s="1"/>
  <c r="E4" i="2" s="1"/>
  <c r="L3" i="1"/>
  <c r="M3" s="1"/>
  <c r="D3" i="2" s="1"/>
  <c r="G3" i="1"/>
  <c r="C3" i="3" s="1"/>
  <c r="L2" i="1"/>
  <c r="M2" s="1"/>
  <c r="G2"/>
  <c r="C2" i="2" s="1"/>
  <c r="E2" i="1"/>
  <c r="N5" l="1"/>
  <c r="O5" s="1"/>
  <c r="I5" i="3" s="1"/>
  <c r="G2"/>
  <c r="D2" i="2"/>
  <c r="G6" i="3"/>
  <c r="D6" i="2"/>
  <c r="C3"/>
  <c r="D4"/>
  <c r="E5"/>
  <c r="C2" i="3"/>
  <c r="C6"/>
  <c r="N2" i="1"/>
  <c r="N4"/>
  <c r="N6"/>
  <c r="E2" i="2"/>
  <c r="C4"/>
  <c r="D5"/>
  <c r="E6"/>
  <c r="G3" i="3"/>
  <c r="C5"/>
  <c r="E3" i="2"/>
  <c r="C5"/>
  <c r="C4" i="3"/>
  <c r="N3" i="1"/>
  <c r="H5" i="3" l="1"/>
  <c r="H6"/>
  <c r="O6" i="1"/>
  <c r="I6" i="3" s="1"/>
  <c r="H4"/>
  <c r="O4" i="1"/>
  <c r="I4" i="3" s="1"/>
  <c r="O3" i="1"/>
  <c r="I3" i="3" s="1"/>
  <c r="H3"/>
  <c r="H2"/>
  <c r="O2" i="1"/>
  <c r="I2" i="3" s="1"/>
</calcChain>
</file>

<file path=xl/sharedStrings.xml><?xml version="1.0" encoding="utf-8"?>
<sst xmlns="http://schemas.openxmlformats.org/spreadsheetml/2006/main" count="104" uniqueCount="51">
  <si>
    <t>Risk ID</t>
  </si>
  <si>
    <t>Description</t>
  </si>
  <si>
    <t>Asset Value (AV ₹)</t>
  </si>
  <si>
    <t>Exposure Factor (EF %)</t>
  </si>
  <si>
    <t>SLE (₹)</t>
  </si>
  <si>
    <t>Annual Rate of Occurrence (ARO)</t>
  </si>
  <si>
    <t>ALE (₹)</t>
  </si>
  <si>
    <t>Control</t>
  </si>
  <si>
    <t>Control Cost (Annual ₹)</t>
  </si>
  <si>
    <t>Residual EF %</t>
  </si>
  <si>
    <t>Residual ARO</t>
  </si>
  <si>
    <t>Residual SLE (₹)</t>
  </si>
  <si>
    <t>Residual ALE (₹)</t>
  </si>
  <si>
    <t>Risk Reduction (₹)</t>
  </si>
  <si>
    <t>ROSI (%)</t>
  </si>
  <si>
    <t>Risk Owner</t>
  </si>
  <si>
    <t>Review Date</t>
  </si>
  <si>
    <t>Q1</t>
  </si>
  <si>
    <t>Phishing - Customer Emails</t>
  </si>
  <si>
    <t>Email Filter + Training</t>
  </si>
  <si>
    <t>Security Lead</t>
  </si>
  <si>
    <t>2025-12-31</t>
  </si>
  <si>
    <t>Q2</t>
  </si>
  <si>
    <t>Ransomware - File Servers</t>
  </si>
  <si>
    <t>Backups + EDR</t>
  </si>
  <si>
    <t>IT Ops</t>
  </si>
  <si>
    <t>Q3</t>
  </si>
  <si>
    <t>Data Breach - Customer DB</t>
  </si>
  <si>
    <t>Encryption + IAM</t>
  </si>
  <si>
    <t>CISO</t>
  </si>
  <si>
    <t>2025-11-30</t>
  </si>
  <si>
    <t>Q4</t>
  </si>
  <si>
    <t>System Outage - ERP</t>
  </si>
  <si>
    <t>DR &amp; Redundancy</t>
  </si>
  <si>
    <t>Ops Manager</t>
  </si>
  <si>
    <t>2026-01-15</t>
  </si>
  <si>
    <t>Q5</t>
  </si>
  <si>
    <t>Insider Data Theft - HR</t>
  </si>
  <si>
    <t>DLP + Monitoring</t>
  </si>
  <si>
    <t>HR Head</t>
  </si>
  <si>
    <t>2026-03-01</t>
  </si>
  <si>
    <t>Risk Level (by ALE)</t>
  </si>
  <si>
    <t>Risk</t>
  </si>
  <si>
    <t>Treatment Option</t>
  </si>
  <si>
    <t>Control Cost (₹)</t>
  </si>
  <si>
    <t>Annual Benefit (₹)</t>
  </si>
  <si>
    <t>Owner</t>
  </si>
  <si>
    <t>Target Date</t>
  </si>
  <si>
    <t>Status</t>
  </si>
  <si>
    <t>Mitigate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</si>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</sst>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/>
          <a:lstStyle/>
          <a:p>
            <a:pPr>
              <a:defRPr/>
            </a:pPr>
            <a:r>
              <a:rPr lang="en-GB"/>
              <a:t>ALE Before vs Residual ALE (₹)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Quant_Risk_Register!$G$1</c:f>
              <c:strCache>
                <c:ptCount val="1"/>
                <c:pt idx="0">
                  <c:v>ALE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Quant_Risk_Register!$A$2:$A$6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Quant_Risk_Register!$G$2:$G$6</c:f>
              <c:numCache>
                <c:formatCode>#,##0</c:formatCode>
                <c:ptCount val="5"/>
                <c:pt idx="0">
                  <c:v>120000</c:v>
                </c:pt>
                <c:pt idx="1">
                  <c:v>180000</c:v>
                </c:pt>
                <c:pt idx="2">
                  <c:v>150000</c:v>
                </c:pt>
                <c:pt idx="3">
                  <c:v>64800</c:v>
                </c:pt>
                <c:pt idx="4">
                  <c:v>79200.000000000015</c:v>
                </c:pt>
              </c:numCache>
            </c:numRef>
          </c:val>
        </c:ser>
        <c:ser>
          <c:idx val="1"/>
          <c:order val="1"/>
          <c:tx>
            <c:strRef>
              <c:f>Quant_Risk_Register!$M$1</c:f>
              <c:strCache>
                <c:ptCount val="1"/>
                <c:pt idx="0">
                  <c:v>Residual ALE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Quant_Risk_Register!$A$2:$A$6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Quant_Risk_Register!$M$2:$M$6</c:f>
              <c:numCache>
                <c:formatCode>#,##0</c:formatCode>
                <c:ptCount val="5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9000</c:v>
                </c:pt>
                <c:pt idx="4">
                  <c:v>11200.000000000002</c:v>
                </c:pt>
              </c:numCache>
            </c:numRef>
          </c:val>
        </c:ser>
        <c:axId val="115976448"/>
        <c:axId val="115991296"/>
      </c:barChart>
      <c:catAx>
        <c:axId val="115976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Risks</a:t>
                </a:r>
              </a:p>
            </c:rich>
          </c:tx>
          <c:layout/>
        </c:title>
        <c:majorTickMark val="none"/>
        <c:tickLblPos val="nextTo"/>
        <c:crossAx val="115991296"/>
        <c:crosses val="autoZero"/>
        <c:lblAlgn val="ctr"/>
        <c:lblOffset val="100"/>
      </c:catAx>
      <c:valAx>
        <c:axId val="1159912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 (₹)</a:t>
                </a:r>
              </a:p>
            </c:rich>
          </c:tx>
          <c:layout/>
        </c:title>
        <c:numFmt formatCode="#,##0" sourceLinked="1"/>
        <c:majorTickMark val="none"/>
        <c:tickLblPos val="nextTo"/>
        <c:crossAx val="11597644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/>
          <a:lstStyle/>
          <a:p>
            <a:pPr>
              <a:defRPr/>
            </a:pPr>
            <a:r>
              <a:rPr lang="en-GB"/>
              <a:t>ROSI % by Risk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Quant_Risk_Register!$O$1</c:f>
              <c:strCache>
                <c:ptCount val="1"/>
                <c:pt idx="0">
                  <c:v>ROSI (%)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Quant_Risk_Register!$A$2:$A$6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Quant_Risk_Register!$O$2:$O$6</c:f>
              <c:numCache>
                <c:formatCode>0.00</c:formatCode>
                <c:ptCount val="5"/>
                <c:pt idx="0">
                  <c:v>57.142857142857139</c:v>
                </c:pt>
                <c:pt idx="1">
                  <c:v>37.5</c:v>
                </c:pt>
                <c:pt idx="2">
                  <c:v>-13.333333333333334</c:v>
                </c:pt>
                <c:pt idx="3">
                  <c:v>11.600000000000001</c:v>
                </c:pt>
                <c:pt idx="4">
                  <c:v>-14.999999999999982</c:v>
                </c:pt>
              </c:numCache>
            </c:numRef>
          </c:val>
        </c:ser>
        <c:axId val="116536064"/>
        <c:axId val="116537984"/>
      </c:barChart>
      <c:catAx>
        <c:axId val="11653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Risk</a:t>
                </a:r>
              </a:p>
            </c:rich>
          </c:tx>
          <c:layout/>
        </c:title>
        <c:majorTickMark val="none"/>
        <c:tickLblPos val="nextTo"/>
        <c:crossAx val="116537984"/>
        <c:crosses val="autoZero"/>
        <c:lblAlgn val="ctr"/>
        <c:lblOffset val="100"/>
      </c:catAx>
      <c:valAx>
        <c:axId val="11653798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ROSI (%)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1653606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A2" sqref="A2"/>
    </sheetView>
  </sheetViews>
  <sheetFormatPr defaultRowHeight="15"/>
  <cols>
    <col min="1" max="1" width="6.85546875" bestFit="1" customWidth="1"/>
    <col min="2" max="2" width="25.28515625" bestFit="1" customWidth="1"/>
    <col min="3" max="3" width="17.7109375" bestFit="1" customWidth="1"/>
    <col min="4" max="4" width="21.140625" bestFit="1" customWidth="1"/>
    <col min="5" max="5" width="11.7109375" bestFit="1" customWidth="1"/>
    <col min="6" max="6" width="30.85546875" bestFit="1" customWidth="1"/>
    <col min="7" max="7" width="10.140625" bestFit="1" customWidth="1"/>
    <col min="8" max="8" width="20.28515625" bestFit="1" customWidth="1"/>
    <col min="9" max="9" width="22" bestFit="1" customWidth="1"/>
    <col min="10" max="10" width="13.140625" bestFit="1" customWidth="1"/>
    <col min="11" max="11" width="12.85546875" bestFit="1" customWidth="1"/>
    <col min="12" max="12" width="15" bestFit="1" customWidth="1"/>
    <col min="13" max="13" width="15.28515625" bestFit="1" customWidth="1"/>
    <col min="14" max="14" width="17.28515625" bestFit="1" customWidth="1"/>
    <col min="15" max="15" width="8.5703125" bestFit="1" customWidth="1"/>
    <col min="16" max="16" width="12.7109375" bestFit="1" customWidth="1"/>
    <col min="17" max="17" width="12.140625" bestFit="1" customWidth="1"/>
  </cols>
  <sheetData>
    <row r="1" spans="1:17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2" t="s">
        <v>17</v>
      </c>
      <c r="B2" s="2" t="s">
        <v>18</v>
      </c>
      <c r="C2" s="7">
        <v>1000000</v>
      </c>
      <c r="D2" s="2">
        <v>40</v>
      </c>
      <c r="E2" s="7">
        <f>C2*(D2/100)</f>
        <v>400000</v>
      </c>
      <c r="F2" s="2">
        <v>0.3</v>
      </c>
      <c r="G2" s="7">
        <f>E2*F2</f>
        <v>120000</v>
      </c>
      <c r="H2" s="2" t="s">
        <v>19</v>
      </c>
      <c r="I2" s="7">
        <v>70000</v>
      </c>
      <c r="J2" s="2">
        <v>10</v>
      </c>
      <c r="K2" s="2">
        <v>0.1</v>
      </c>
      <c r="L2" s="7">
        <f>C2*(J2/100)</f>
        <v>100000</v>
      </c>
      <c r="M2" s="7">
        <f>L2*K2</f>
        <v>10000</v>
      </c>
      <c r="N2" s="7">
        <f>G2-M2</f>
        <v>110000</v>
      </c>
      <c r="O2" s="3">
        <f>IF(I2=0,0, (N2-I2)/I2*100)</f>
        <v>57.142857142857139</v>
      </c>
      <c r="P2" s="2" t="s">
        <v>20</v>
      </c>
      <c r="Q2" s="2" t="s">
        <v>21</v>
      </c>
    </row>
    <row r="3" spans="1:17">
      <c r="A3" s="2" t="s">
        <v>22</v>
      </c>
      <c r="B3" s="2" t="s">
        <v>23</v>
      </c>
      <c r="C3" s="7">
        <v>1500000</v>
      </c>
      <c r="D3" s="2">
        <v>60</v>
      </c>
      <c r="E3" s="7">
        <f>C3*(D3/100)</f>
        <v>900000</v>
      </c>
      <c r="F3" s="2">
        <v>0.2</v>
      </c>
      <c r="G3" s="7">
        <f>E3*F3</f>
        <v>180000</v>
      </c>
      <c r="H3" s="2" t="s">
        <v>24</v>
      </c>
      <c r="I3" s="7">
        <v>120000</v>
      </c>
      <c r="J3" s="2">
        <v>20</v>
      </c>
      <c r="K3" s="2">
        <v>0.05</v>
      </c>
      <c r="L3" s="7">
        <f>C3*(J3/100)</f>
        <v>300000</v>
      </c>
      <c r="M3" s="7">
        <f>L3*K3</f>
        <v>15000</v>
      </c>
      <c r="N3" s="7">
        <f>G3-M3</f>
        <v>165000</v>
      </c>
      <c r="O3" s="3">
        <f>IF(I3=0,0, (N3-I3)/I3*100)</f>
        <v>37.5</v>
      </c>
      <c r="P3" s="2" t="s">
        <v>25</v>
      </c>
      <c r="Q3" s="2" t="s">
        <v>21</v>
      </c>
    </row>
    <row r="4" spans="1:17">
      <c r="A4" s="2" t="s">
        <v>26</v>
      </c>
      <c r="B4" s="2" t="s">
        <v>27</v>
      </c>
      <c r="C4" s="7">
        <v>2000000</v>
      </c>
      <c r="D4" s="2">
        <v>50</v>
      </c>
      <c r="E4" s="7">
        <f>C4*(D4/100)</f>
        <v>1000000</v>
      </c>
      <c r="F4" s="2">
        <v>0.15</v>
      </c>
      <c r="G4" s="7">
        <f>E4*F4</f>
        <v>150000</v>
      </c>
      <c r="H4" s="2" t="s">
        <v>28</v>
      </c>
      <c r="I4" s="7">
        <v>150000</v>
      </c>
      <c r="J4" s="2">
        <v>25</v>
      </c>
      <c r="K4" s="2">
        <v>0.04</v>
      </c>
      <c r="L4" s="7">
        <f>C4*(J4/100)</f>
        <v>500000</v>
      </c>
      <c r="M4" s="7">
        <f>L4*K4</f>
        <v>20000</v>
      </c>
      <c r="N4" s="7">
        <f>G4-M4</f>
        <v>130000</v>
      </c>
      <c r="O4" s="3">
        <f>IF(I4=0,0, (N4-I4)/I4*100)</f>
        <v>-13.333333333333334</v>
      </c>
      <c r="P4" s="2" t="s">
        <v>29</v>
      </c>
      <c r="Q4" s="2" t="s">
        <v>30</v>
      </c>
    </row>
    <row r="5" spans="1:17">
      <c r="A5" s="2" t="s">
        <v>31</v>
      </c>
      <c r="B5" s="2" t="s">
        <v>32</v>
      </c>
      <c r="C5" s="7">
        <v>1200000</v>
      </c>
      <c r="D5" s="2">
        <v>45</v>
      </c>
      <c r="E5" s="7">
        <f>C5*(D5/100)</f>
        <v>540000</v>
      </c>
      <c r="F5" s="2">
        <v>0.12</v>
      </c>
      <c r="G5" s="7">
        <f>E5*F5</f>
        <v>64800</v>
      </c>
      <c r="H5" s="2" t="s">
        <v>33</v>
      </c>
      <c r="I5" s="7">
        <v>50000</v>
      </c>
      <c r="J5" s="2">
        <v>15</v>
      </c>
      <c r="K5" s="2">
        <v>0.05</v>
      </c>
      <c r="L5" s="7">
        <f>C5*(J5/100)</f>
        <v>180000</v>
      </c>
      <c r="M5" s="7">
        <f>L5*K5</f>
        <v>9000</v>
      </c>
      <c r="N5" s="7">
        <f>G5-M5</f>
        <v>55800</v>
      </c>
      <c r="O5" s="3">
        <f>IF(I5=0,0, (N5-I5)/I5*100)</f>
        <v>11.600000000000001</v>
      </c>
      <c r="P5" s="2" t="s">
        <v>34</v>
      </c>
      <c r="Q5" s="2" t="s">
        <v>35</v>
      </c>
    </row>
    <row r="6" spans="1:17">
      <c r="A6" s="2" t="s">
        <v>36</v>
      </c>
      <c r="B6" s="2" t="s">
        <v>37</v>
      </c>
      <c r="C6" s="7">
        <v>800000</v>
      </c>
      <c r="D6" s="2">
        <v>55</v>
      </c>
      <c r="E6" s="7">
        <f>C6*(D6/100)</f>
        <v>440000.00000000006</v>
      </c>
      <c r="F6" s="2">
        <v>0.18</v>
      </c>
      <c r="G6" s="7">
        <f>E6*F6</f>
        <v>79200.000000000015</v>
      </c>
      <c r="H6" s="2" t="s">
        <v>38</v>
      </c>
      <c r="I6" s="7">
        <v>80000</v>
      </c>
      <c r="J6" s="2">
        <v>20</v>
      </c>
      <c r="K6" s="2">
        <v>7.0000000000000007E-2</v>
      </c>
      <c r="L6" s="7">
        <f>C6*(J6/100)</f>
        <v>160000</v>
      </c>
      <c r="M6" s="7">
        <f>L6*K6</f>
        <v>11200.000000000002</v>
      </c>
      <c r="N6" s="7">
        <f>G6-M6</f>
        <v>68000.000000000015</v>
      </c>
      <c r="O6" s="3">
        <f>IF(I6=0,0, (N6-I6)/I6*100)</f>
        <v>-14.999999999999982</v>
      </c>
      <c r="P6" s="2" t="s">
        <v>39</v>
      </c>
      <c r="Q6" s="2" t="s">
        <v>40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D11" sqref="D11"/>
    </sheetView>
  </sheetViews>
  <sheetFormatPr defaultRowHeight="15"/>
  <cols>
    <col min="2" max="2" width="25.28515625" bestFit="1" customWidth="1"/>
    <col min="3" max="3" width="7.140625" bestFit="1" customWidth="1"/>
    <col min="4" max="4" width="15.28515625" bestFit="1" customWidth="1"/>
    <col min="5" max="5" width="17.5703125" bestFit="1" customWidth="1"/>
  </cols>
  <sheetData>
    <row r="1" spans="1:5">
      <c r="A1" s="6" t="s">
        <v>0</v>
      </c>
      <c r="B1" s="6" t="s">
        <v>1</v>
      </c>
      <c r="C1" s="6" t="s">
        <v>6</v>
      </c>
      <c r="D1" s="6" t="s">
        <v>12</v>
      </c>
      <c r="E1" s="6" t="s">
        <v>41</v>
      </c>
    </row>
    <row r="2" spans="1:5">
      <c r="A2" s="1" t="s">
        <v>17</v>
      </c>
      <c r="B2" s="1" t="s">
        <v>18</v>
      </c>
      <c r="C2" s="1">
        <f>Quant_Risk_Register!G2</f>
        <v>120000</v>
      </c>
      <c r="D2" s="1">
        <f>Quant_Risk_Register!M2</f>
        <v>10000</v>
      </c>
      <c r="E2" s="1" t="str">
        <f>IF(Quant_Risk_Register!G2&gt;100000, "High", IF(Quant_Risk_Register!G2&gt;30000, "Medium", "Low"))</f>
        <v>High</v>
      </c>
    </row>
    <row r="3" spans="1:5">
      <c r="A3" s="1" t="s">
        <v>22</v>
      </c>
      <c r="B3" s="1" t="s">
        <v>23</v>
      </c>
      <c r="C3" s="1">
        <f>Quant_Risk_Register!G3</f>
        <v>180000</v>
      </c>
      <c r="D3" s="1">
        <f>Quant_Risk_Register!M3</f>
        <v>15000</v>
      </c>
      <c r="E3" s="1" t="str">
        <f>IF(Quant_Risk_Register!G3&gt;100000, "High", IF(Quant_Risk_Register!G3&gt;30000, "Medium", "Low"))</f>
        <v>High</v>
      </c>
    </row>
    <row r="4" spans="1:5">
      <c r="A4" s="1" t="s">
        <v>26</v>
      </c>
      <c r="B4" s="1" t="s">
        <v>27</v>
      </c>
      <c r="C4" s="1">
        <f>Quant_Risk_Register!G4</f>
        <v>150000</v>
      </c>
      <c r="D4" s="1">
        <f>Quant_Risk_Register!M4</f>
        <v>20000</v>
      </c>
      <c r="E4" s="1" t="str">
        <f>IF(Quant_Risk_Register!G4&gt;100000, "High", IF(Quant_Risk_Register!G4&gt;30000, "Medium", "Low"))</f>
        <v>High</v>
      </c>
    </row>
    <row r="5" spans="1:5">
      <c r="A5" s="1" t="s">
        <v>31</v>
      </c>
      <c r="B5" s="1" t="s">
        <v>32</v>
      </c>
      <c r="C5" s="1">
        <f>Quant_Risk_Register!G5</f>
        <v>64800</v>
      </c>
      <c r="D5" s="1">
        <f>Quant_Risk_Register!M5</f>
        <v>9000</v>
      </c>
      <c r="E5" s="1" t="str">
        <f>IF(Quant_Risk_Register!G5&gt;100000, "High", IF(Quant_Risk_Register!G5&gt;30000, "Medium", "Low"))</f>
        <v>Medium</v>
      </c>
    </row>
    <row r="6" spans="1:5">
      <c r="A6" s="1" t="s">
        <v>36</v>
      </c>
      <c r="B6" s="1" t="s">
        <v>37</v>
      </c>
      <c r="C6" s="1">
        <f>Quant_Risk_Register!G6</f>
        <v>79200.000000000015</v>
      </c>
      <c r="D6" s="1">
        <f>Quant_Risk_Register!M6</f>
        <v>11200.000000000002</v>
      </c>
      <c r="E6" s="1" t="str">
        <f>IF(Quant_Risk_Register!G6&gt;100000, "High", IF(Quant_Risk_Register!G6&gt;30000, "Medium", "Low"))</f>
        <v>Medium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>
      <selection activeCell="A2" sqref="A2"/>
    </sheetView>
  </sheetViews>
  <sheetFormatPr defaultRowHeight="15"/>
  <cols>
    <col min="2" max="2" width="25.28515625" bestFit="1" customWidth="1"/>
    <col min="3" max="3" width="7.140625" bestFit="1" customWidth="1"/>
    <col min="4" max="4" width="17" bestFit="1" customWidth="1"/>
    <col min="5" max="5" width="20.28515625" bestFit="1" customWidth="1"/>
    <col min="6" max="6" width="15" bestFit="1" customWidth="1"/>
    <col min="7" max="7" width="15.28515625" bestFit="1" customWidth="1"/>
    <col min="8" max="8" width="17.5703125" bestFit="1" customWidth="1"/>
    <col min="9" max="10" width="12.7109375" bestFit="1" customWidth="1"/>
    <col min="11" max="11" width="11.140625" bestFit="1" customWidth="1"/>
    <col min="12" max="12" width="6.42578125" bestFit="1" customWidth="1"/>
  </cols>
  <sheetData>
    <row r="1" spans="1:12">
      <c r="A1" s="6" t="s">
        <v>0</v>
      </c>
      <c r="B1" s="6" t="s">
        <v>42</v>
      </c>
      <c r="C1" s="6" t="s">
        <v>6</v>
      </c>
      <c r="D1" s="6" t="s">
        <v>43</v>
      </c>
      <c r="E1" s="6" t="s">
        <v>7</v>
      </c>
      <c r="F1" s="6" t="s">
        <v>44</v>
      </c>
      <c r="G1" s="6" t="s">
        <v>12</v>
      </c>
      <c r="H1" s="6" t="s">
        <v>45</v>
      </c>
      <c r="I1" s="6" t="s">
        <v>14</v>
      </c>
      <c r="J1" s="6" t="s">
        <v>46</v>
      </c>
      <c r="K1" s="6" t="s">
        <v>47</v>
      </c>
      <c r="L1" s="6" t="s">
        <v>48</v>
      </c>
    </row>
    <row r="2" spans="1:12">
      <c r="A2" s="1" t="s">
        <v>17</v>
      </c>
      <c r="B2" s="1" t="s">
        <v>18</v>
      </c>
      <c r="C2" s="1">
        <f>Quant_Risk_Register!G2</f>
        <v>120000</v>
      </c>
      <c r="D2" s="1" t="s">
        <v>49</v>
      </c>
      <c r="E2" s="1" t="s">
        <v>19</v>
      </c>
      <c r="F2" s="1">
        <f>Quant_Risk_Register!I2</f>
        <v>70000</v>
      </c>
      <c r="G2" s="1">
        <f>Quant_Risk_Register!M2</f>
        <v>10000</v>
      </c>
      <c r="H2" s="1">
        <f>Quant_Risk_Register!N2</f>
        <v>110000</v>
      </c>
      <c r="I2" s="1">
        <f>Quant_Risk_Register!O2</f>
        <v>57.142857142857139</v>
      </c>
      <c r="J2" s="1" t="s">
        <v>20</v>
      </c>
      <c r="K2" s="1" t="s">
        <v>21</v>
      </c>
      <c r="L2" s="1" t="s">
        <v>50</v>
      </c>
    </row>
    <row r="3" spans="1:12">
      <c r="A3" s="1" t="s">
        <v>22</v>
      </c>
      <c r="B3" s="1" t="s">
        <v>23</v>
      </c>
      <c r="C3" s="1">
        <f>Quant_Risk_Register!G3</f>
        <v>180000</v>
      </c>
      <c r="D3" s="1" t="s">
        <v>49</v>
      </c>
      <c r="E3" s="1" t="s">
        <v>24</v>
      </c>
      <c r="F3" s="1">
        <f>Quant_Risk_Register!I3</f>
        <v>120000</v>
      </c>
      <c r="G3" s="1">
        <f>Quant_Risk_Register!M3</f>
        <v>15000</v>
      </c>
      <c r="H3" s="1">
        <f>Quant_Risk_Register!N3</f>
        <v>165000</v>
      </c>
      <c r="I3" s="1">
        <f>Quant_Risk_Register!O3</f>
        <v>37.5</v>
      </c>
      <c r="J3" s="1" t="s">
        <v>25</v>
      </c>
      <c r="K3" s="1" t="s">
        <v>21</v>
      </c>
      <c r="L3" s="1" t="s">
        <v>50</v>
      </c>
    </row>
    <row r="4" spans="1:12">
      <c r="A4" s="1" t="s">
        <v>26</v>
      </c>
      <c r="B4" s="1" t="s">
        <v>27</v>
      </c>
      <c r="C4" s="1">
        <f>Quant_Risk_Register!G4</f>
        <v>150000</v>
      </c>
      <c r="D4" s="1" t="s">
        <v>49</v>
      </c>
      <c r="E4" s="1" t="s">
        <v>28</v>
      </c>
      <c r="F4" s="1">
        <f>Quant_Risk_Register!I4</f>
        <v>150000</v>
      </c>
      <c r="G4" s="1">
        <f>Quant_Risk_Register!M4</f>
        <v>20000</v>
      </c>
      <c r="H4" s="1">
        <f>Quant_Risk_Register!N4</f>
        <v>130000</v>
      </c>
      <c r="I4" s="1">
        <f>Quant_Risk_Register!O4</f>
        <v>-13.333333333333334</v>
      </c>
      <c r="J4" s="1" t="s">
        <v>29</v>
      </c>
      <c r="K4" s="1" t="s">
        <v>30</v>
      </c>
      <c r="L4" s="1" t="s">
        <v>50</v>
      </c>
    </row>
    <row r="5" spans="1:12">
      <c r="A5" s="1" t="s">
        <v>31</v>
      </c>
      <c r="B5" s="1" t="s">
        <v>32</v>
      </c>
      <c r="C5" s="1">
        <f>Quant_Risk_Register!G5</f>
        <v>64800</v>
      </c>
      <c r="D5" s="1" t="s">
        <v>49</v>
      </c>
      <c r="E5" s="1" t="s">
        <v>33</v>
      </c>
      <c r="F5" s="1">
        <f>Quant_Risk_Register!I5</f>
        <v>50000</v>
      </c>
      <c r="G5" s="1">
        <f>Quant_Risk_Register!M5</f>
        <v>9000</v>
      </c>
      <c r="H5" s="1">
        <f>Quant_Risk_Register!N5</f>
        <v>55800</v>
      </c>
      <c r="I5" s="1">
        <f>Quant_Risk_Register!O5</f>
        <v>11.600000000000001</v>
      </c>
      <c r="J5" s="1" t="s">
        <v>34</v>
      </c>
      <c r="K5" s="1" t="s">
        <v>35</v>
      </c>
      <c r="L5" s="1" t="s">
        <v>50</v>
      </c>
    </row>
    <row r="6" spans="1:12">
      <c r="A6" s="1" t="s">
        <v>36</v>
      </c>
      <c r="B6" s="1" t="s">
        <v>37</v>
      </c>
      <c r="C6" s="1">
        <f>Quant_Risk_Register!G6</f>
        <v>79200.000000000015</v>
      </c>
      <c r="D6" s="1" t="s">
        <v>49</v>
      </c>
      <c r="E6" s="1" t="s">
        <v>38</v>
      </c>
      <c r="F6" s="1">
        <f>Quant_Risk_Register!I6</f>
        <v>80000</v>
      </c>
      <c r="G6" s="1">
        <f>Quant_Risk_Register!M6</f>
        <v>11200.000000000002</v>
      </c>
      <c r="H6" s="1">
        <f>Quant_Risk_Register!N6</f>
        <v>68000.000000000015</v>
      </c>
      <c r="I6" s="1">
        <f>Quant_Risk_Register!O6</f>
        <v>-14.999999999999982</v>
      </c>
      <c r="J6" s="1" t="s">
        <v>39</v>
      </c>
      <c r="K6" s="1" t="s">
        <v>40</v>
      </c>
      <c r="L6" s="1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Quant_Risk_Register</vt:lpstr>
      <vt:lpstr>HeatMap_ALE</vt:lpstr>
      <vt:lpstr>Risk_Treatment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Gaurao T</cp:lastModifiedBy>
  <dcterms:created xsi:type="dcterms:W3CDTF">2025-11-28T11:38:42Z</dcterms:created>
  <dcterms:modified xsi:type="dcterms:W3CDTF">2025-11-28T12:39:51Z</dcterms:modified>
</cp:coreProperties>
</file>